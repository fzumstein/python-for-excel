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xr:revisionPtr revIDLastSave="0" documentId="13_ncr:1_{C2669E16-7E02-482D-852C-E68122262548}" xr6:coauthVersionLast="47" xr6:coauthVersionMax="47" xr10:uidLastSave="{00000000-0000-0000-0000-000000000000}"/>
  <bookViews>
    <workbookView xWindow="-98" yWindow="-98" windowWidth="25846" windowHeight="15511" xr2:uid="{8E1FFBBD-A556-F542-A009-0CAB5D62E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 a="1"/>
  <c r="I1" i="1" s="1"/>
  <c r="I2" i="1" s="1" a="1"/>
  <c r="I2" i="1" s="1"/>
  <c r="A7" i="1" l="1" a="1"/>
  <c r="A7" i="1" s="1"/>
  <c r="I12" i="1" s="1" a="1"/>
  <c r="I12" i="1" s="1"/>
  <c r="I13" i="1" l="1" a="1"/>
  <c r="I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">
    <bk>
      <extLst>
        <ext uri="{3e2802c4-a4d2-4d8b-9148-e3be6c30e623}">
          <xlrd:rvb i="8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6"/>
        </ext>
      </extLst>
    </bk>
  </futureMetadata>
  <cellMetadata count="1">
    <bk>
      <rc t="1" v="0"/>
    </bk>
  </cellMetadata>
  <valueMetadata count="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df = df.set_index("Date")</code>
    </pythonScript>
    <pythonScript>
      <code>df.describe()</code>
    </pythonScript>
    <pythonScript>
      <code>df</code>
    </pythonScript>
    <pythonScript>
      <code>df["Steps"].plot.bar()</code>
    </pythonScript>
    <pythonScript>
      <code>sns.barplot(df.reset_index(), x="Date", y="Steps")</code>
    </pythonScript>
  </pythonScripts>
</python>
</file>

<file path=xl/sharedStrings.xml><?xml version="1.0" encoding="utf-8"?>
<sst xmlns="http://schemas.openxmlformats.org/spreadsheetml/2006/main" count="13" uniqueCount="13">
  <si>
    <t>Date</t>
  </si>
  <si>
    <t>Steps</t>
  </si>
  <si>
    <t>Distance (km)</t>
  </si>
  <si>
    <t>Calories</t>
  </si>
  <si>
    <t>Sleep (hrs)</t>
  </si>
  <si>
    <t>Comment</t>
  </si>
  <si>
    <t>Felt tired</t>
  </si>
  <si>
    <t>Running group</t>
  </si>
  <si>
    <t>No sleep tracked</t>
  </si>
  <si>
    <t>Create DataFrame</t>
  </si>
  <si>
    <t>Statistics</t>
  </si>
  <si>
    <t>Matplotlib Plot</t>
  </si>
  <si>
    <t>Seaborn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</si>
</sst>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eetMetadata" Target="metadata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haredStrings" Target="sharedString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20803</xdr:colOff>
      <xdr:row>10</xdr:row>
      <xdr:rowOff>197826</xdr:rowOff>
    </xdr:from>
    <xdr:to>
      <xdr:col>12</xdr:col>
      <xdr:colOff>233815</xdr:colOff>
      <xdr:row>25</xdr:row>
      <xdr:rowOff>49823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BA5ED0-7270-1F87-4FB8-2C8A371C25B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I1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2322" y="2212730"/>
          <a:ext cx="2894666" cy="2874353"/>
        </a:xfrm>
        <a:prstGeom prst="rect">
          <a:avLst/>
        </a:prstGeom>
      </xdr:spPr>
    </xdr:pic>
    <xdr:clientData/>
  </xdr:twoCellAnchor>
  <xdr:twoCellAnchor editAs="oneCell">
    <xdr:from>
      <xdr:col>13</xdr:col>
      <xdr:colOff>24563</xdr:colOff>
      <xdr:row>10</xdr:row>
      <xdr:rowOff>197826</xdr:rowOff>
    </xdr:from>
    <xdr:to>
      <xdr:col>16</xdr:col>
      <xdr:colOff>400788</xdr:colOff>
      <xdr:row>21</xdr:row>
      <xdr:rowOff>103309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6BC13-D1EE-266E-3453-FDB1B2AD406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I13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7958" y="2212730"/>
          <a:ext cx="2893022" cy="21218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6">
    <v t="s"/>
    <v t="s">Steps</v>
    <v t="s">Distance (km)</v>
    <v t="s">Calories</v>
    <v t="s">Sleep (hrs)</v>
    <v t="s">Comment</v>
    <v t="s">Date</v>
    <v t="s"/>
    <v t="s"/>
    <v t="s"/>
    <v t="s"/>
    <v t="s"/>
    <v t="r">0</v>
    <v>8200</v>
    <v>6.1</v>
    <v>320</v>
    <v>7.2</v>
    <v t="r">1</v>
    <v t="r">2</v>
    <v>10500</v>
    <v>7.9</v>
    <v>390</v>
    <v>6.5</v>
    <v t="s">Felt tired</v>
    <v t="r">3</v>
    <v>6000</v>
    <v>4.5</v>
    <v>280</v>
    <v t="r">4</v>
    <v t="s">No sleep tracked</v>
    <v t="r">5</v>
    <v>12300</v>
    <v>9</v>
    <v>450</v>
    <v>6.8</v>
    <v t="s">Running group</v>
  </a>
  <a r="2">
    <v>570</v>
    <v>566</v>
  </a>
  <a r="2">
    <v>589</v>
    <v>432</v>
  </a>
</arrayData>
</file>

<file path=xl/richData/rdrichvalue.xml><?xml version="1.0" encoding="utf-8"?>
<rvData xmlns="http://schemas.microsoft.com/office/spreadsheetml/2017/richdata" count="17">
  <rv s="0">
    <fb>45809</fb>
    <v>2</v>
  </rv>
  <rv s="0">
    <fb>0</fb>
    <v>3</v>
  </rv>
  <rv s="0">
    <fb>45810</fb>
    <v>2</v>
  </rv>
  <rv s="0">
    <fb>45811</fb>
    <v>2</v>
  </rv>
  <rv s="0">
    <fb>0</fb>
    <v>4</v>
  </rv>
  <rv s="0">
    <fb>45812</fb>
    <v>2</v>
  </rv>
  <rv s="1">
    <v>0</v>
  </rv>
  <rv s="2">
    <v>DataFrame</v>
    <v>1</v>
    <v>6</v>
  </rv>
  <rv s="3">
    <v>&lt;class 'pandas.core.frame.DataFrame'&gt;</v>
    <v>DataFrame</v>
    <v xml:space="preserve">            Steps  Distance (km)  Calories  Sleep (hrs)           Comment
Date                                                                     
2025-06-01   8200            6.1       320          7.2              None
2025-06-02  10500            7...</v>
    <v>7</v>
    <v>5</v>
  </rv>
  <rv s="4">
    <v>0</v>
    <v>9</v>
  </rv>
  <rv s="1">
    <v>1</v>
  </rv>
  <rv s="5">
    <v>Image</v>
    <v>6</v>
    <v>9</v>
    <v>10</v>
  </rv>
  <rv s="3">
    <v>&lt;class 'PIL.PngImagePlugin.PngImageFile'&gt;</v>
    <v>PngImageFile</v>
    <v>&lt;PIL.PngImagePlugin.PngImageFile image mode=RGBA size=570x566 at 0x7FDA71D15340&gt;</v>
    <v>11</v>
    <v>5</v>
  </rv>
  <rv s="4">
    <v>1</v>
    <v>9</v>
  </rv>
  <rv s="1">
    <v>2</v>
  </rv>
  <rv s="5">
    <v>Image</v>
    <v>6</v>
    <v>13</v>
    <v>14</v>
  </rv>
  <rv s="3">
    <v>&lt;class 'PIL.PngImagePlugin.PngImageFile'&gt;</v>
    <v>PngImageFile</v>
    <v>&lt;PIL.PngImagePlugin.PngImageFile image mode=RGBA size=589x432 at 0x7FDA71E23AD0&gt;</v>
    <v>15</v>
    <v>5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7">
    <spb s="0">
      <v>4</v>
      <v>5</v>
      <v>DataFrame</v>
      <v>arrayPreview</v>
      <v>1</v>
    </spb>
    <spb s="1">
      <v>0</v>
    </spb>
    <spb s="2">
      <v>1</v>
    </spb>
    <spb s="2">
      <v>2</v>
    </spb>
    <spb s="2">
      <v>3</v>
    </spb>
    <spb s="3">
      <v>https://www.anaconda.com/excel</v>
      <v>https://res.cdn.office.net/officepysvc/prod-service/anacondalogo.png</v>
      <v>Python provided by Anaconda</v>
    </spb>
    <spb s="4">
      <v>4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  <rPr n="IsHeroField" t="b"/>
  </richProperties>
  <richStyles>
    <rSty dxfid="0"/>
    <rSty dxfid="1">
      <rpv i="0">0;-0;"None"</rpv>
    </rSty>
    <rSty dxfid="1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54856-93A5-4BD9-A2A3-E11EC4AD2C1C}" name="FitnessData" displayName="FitnessData" ref="A1:F5" totalsRowShown="0" headerRowDxfId="2">
  <autoFilter ref="A1:F5" xr:uid="{E9C54856-93A5-4BD9-A2A3-E11EC4AD2C1C}"/>
  <tableColumns count="6">
    <tableColumn id="1" xr3:uid="{2E874B1D-B608-4D30-9A40-D125BD63F4E3}" name="Date" dataDxfId="1"/>
    <tableColumn id="2" xr3:uid="{6B71D348-7CA5-4C43-8832-9E1FE59A8885}" name="Steps" dataDxfId="0"/>
    <tableColumn id="3" xr3:uid="{80854E10-16B5-434D-AABB-1F12AFA1670D}" name="Distance (km)"/>
    <tableColumn id="4" xr3:uid="{2A9BD26F-82E3-4AAA-8E8E-97E8ADFD535B}" name="Calories"/>
    <tableColumn id="5" xr3:uid="{7F72D09E-B9FA-4FB7-A6A9-9527F08E475C}" name="Sleep (hrs)"/>
    <tableColumn id="6" xr3:uid="{B755A99B-61F3-45A0-BBEB-76A75F806725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800F-4AE0-D141-833D-F68A27E5C5C3}">
  <dimension ref="A1:M13"/>
  <sheetViews>
    <sheetView tabSelected="1" zoomScaleNormal="100" workbookViewId="0"/>
  </sheetViews>
  <sheetFormatPr defaultColWidth="11" defaultRowHeight="15.75" x14ac:dyDescent="0.5"/>
  <cols>
    <col min="3" max="3" width="14" customWidth="1"/>
    <col min="5" max="5" width="11.4375" customWidth="1"/>
    <col min="6" max="6" width="14.6875" bestFit="1" customWidth="1"/>
    <col min="8" max="8" width="15.5" bestFit="1" customWidth="1"/>
    <col min="9" max="9" width="17.5625" bestFit="1" customWidth="1"/>
    <col min="10" max="10" width="11.6875" bestFit="1" customWidth="1"/>
    <col min="11" max="11" width="11.8125" bestFit="1" customWidth="1"/>
    <col min="12" max="13" width="11.6875" bestFit="1" customWidth="1"/>
  </cols>
  <sheetData>
    <row r="1" spans="1:13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4" t="s">
        <v>9</v>
      </c>
      <c r="I1" t="e" cm="1" vm="1">
        <f t="array" ref="I1">_xlfn._xlws.PY(0,1,FitnessData[#All])</f>
        <v>#VALUE!</v>
      </c>
    </row>
    <row r="2" spans="1:13" x14ac:dyDescent="0.5">
      <c r="A2" s="2">
        <v>45809</v>
      </c>
      <c r="B2" s="3">
        <v>8200</v>
      </c>
      <c r="C2">
        <v>6.1</v>
      </c>
      <c r="D2">
        <v>320</v>
      </c>
      <c r="E2">
        <v>7.2</v>
      </c>
      <c r="H2" s="4" t="s">
        <v>10</v>
      </c>
      <c r="I2" t="str" cm="1">
        <f t="array" ref="I2:M10">_xlfn._xlws.PY(1,0)</f>
        <v/>
      </c>
      <c r="J2" t="str">
        <v>Steps</v>
      </c>
      <c r="K2" t="str">
        <v>Distance (km)</v>
      </c>
      <c r="L2" t="str">
        <v>Calories</v>
      </c>
      <c r="M2" t="str">
        <v>Sleep (hrs)</v>
      </c>
    </row>
    <row r="3" spans="1:13" x14ac:dyDescent="0.5">
      <c r="A3" s="2">
        <v>45810</v>
      </c>
      <c r="B3" s="3">
        <v>10500</v>
      </c>
      <c r="C3">
        <v>7.9</v>
      </c>
      <c r="D3">
        <v>390</v>
      </c>
      <c r="E3">
        <v>6.5</v>
      </c>
      <c r="F3" t="s">
        <v>6</v>
      </c>
      <c r="I3" t="str">
        <v>count</v>
      </c>
      <c r="J3">
        <v>4</v>
      </c>
      <c r="K3">
        <v>4</v>
      </c>
      <c r="L3">
        <v>4</v>
      </c>
      <c r="M3">
        <v>3</v>
      </c>
    </row>
    <row r="4" spans="1:13" x14ac:dyDescent="0.5">
      <c r="A4" s="2">
        <v>45811</v>
      </c>
      <c r="B4" s="3">
        <v>6000</v>
      </c>
      <c r="C4">
        <v>4.5</v>
      </c>
      <c r="D4">
        <v>280</v>
      </c>
      <c r="F4" t="s">
        <v>8</v>
      </c>
      <c r="I4" t="str">
        <v>mean</v>
      </c>
      <c r="J4">
        <v>9250</v>
      </c>
      <c r="K4">
        <v>6.875</v>
      </c>
      <c r="L4">
        <v>360</v>
      </c>
      <c r="M4">
        <v>6.833333333333333</v>
      </c>
    </row>
    <row r="5" spans="1:13" x14ac:dyDescent="0.5">
      <c r="A5" s="2">
        <v>45812</v>
      </c>
      <c r="B5" s="3">
        <v>12300</v>
      </c>
      <c r="C5">
        <v>9</v>
      </c>
      <c r="D5">
        <v>450</v>
      </c>
      <c r="E5">
        <v>6.8</v>
      </c>
      <c r="F5" t="s">
        <v>7</v>
      </c>
      <c r="I5" t="str">
        <v>std</v>
      </c>
      <c r="J5">
        <v>2740.4379212089443</v>
      </c>
      <c r="K5">
        <v>1.9838934783232021</v>
      </c>
      <c r="L5">
        <v>75.277265270908103</v>
      </c>
      <c r="M5">
        <v>0.35118845842842472</v>
      </c>
    </row>
    <row r="6" spans="1:13" x14ac:dyDescent="0.5">
      <c r="I6" t="str">
        <v>min</v>
      </c>
      <c r="J6">
        <v>6000</v>
      </c>
      <c r="K6">
        <v>4.5</v>
      </c>
      <c r="L6">
        <v>280</v>
      </c>
      <c r="M6">
        <v>6.5</v>
      </c>
    </row>
    <row r="7" spans="1:13" x14ac:dyDescent="0.5">
      <c r="A7" t="str" cm="1">
        <f t="array" ref="A7:F12">_xlfn._xlws.PY(2,0)</f>
        <v/>
      </c>
      <c r="B7" t="str">
        <v>Steps</v>
      </c>
      <c r="C7" t="str">
        <v>Distance (km)</v>
      </c>
      <c r="D7" t="str">
        <v>Calories</v>
      </c>
      <c r="E7" t="str">
        <v>Sleep (hrs)</v>
      </c>
      <c r="F7" t="str">
        <v>Comment</v>
      </c>
      <c r="I7" t="str">
        <v>25%</v>
      </c>
      <c r="J7">
        <v>7650</v>
      </c>
      <c r="K7">
        <v>5.6999999999999993</v>
      </c>
      <c r="L7">
        <v>310</v>
      </c>
      <c r="M7">
        <v>6.65</v>
      </c>
    </row>
    <row r="8" spans="1:13" x14ac:dyDescent="0.5">
      <c r="A8" t="str">
        <v>Date</v>
      </c>
      <c r="B8" t="str">
        <v/>
      </c>
      <c r="C8" t="str">
        <v/>
      </c>
      <c r="D8" t="str">
        <v/>
      </c>
      <c r="E8" t="str">
        <v/>
      </c>
      <c r="F8" t="str">
        <v/>
      </c>
      <c r="I8" t="str">
        <v>50%</v>
      </c>
      <c r="J8">
        <v>9350</v>
      </c>
      <c r="K8">
        <v>7</v>
      </c>
      <c r="L8">
        <v>355</v>
      </c>
      <c r="M8">
        <v>6.8</v>
      </c>
    </row>
    <row r="9" spans="1:13" x14ac:dyDescent="0.5">
      <c r="A9" vm="2">
        <v>45809</v>
      </c>
      <c r="B9">
        <v>8200</v>
      </c>
      <c r="C9">
        <v>6.1</v>
      </c>
      <c r="D9">
        <v>320</v>
      </c>
      <c r="E9">
        <v>7.2</v>
      </c>
      <c r="F9" vm="3">
        <v>0</v>
      </c>
      <c r="I9" t="str">
        <v>75%</v>
      </c>
      <c r="J9">
        <v>10950</v>
      </c>
      <c r="K9">
        <v>8.1750000000000007</v>
      </c>
      <c r="L9">
        <v>405</v>
      </c>
      <c r="M9">
        <v>7</v>
      </c>
    </row>
    <row r="10" spans="1:13" x14ac:dyDescent="0.5">
      <c r="A10" vm="4">
        <v>45810</v>
      </c>
      <c r="B10">
        <v>10500</v>
      </c>
      <c r="C10">
        <v>7.9</v>
      </c>
      <c r="D10">
        <v>390</v>
      </c>
      <c r="E10">
        <v>6.5</v>
      </c>
      <c r="F10" t="str">
        <v>Felt tired</v>
      </c>
      <c r="I10" t="str">
        <v>max</v>
      </c>
      <c r="J10">
        <v>12300</v>
      </c>
      <c r="K10">
        <v>9</v>
      </c>
      <c r="L10">
        <v>450</v>
      </c>
      <c r="M10">
        <v>7.2</v>
      </c>
    </row>
    <row r="11" spans="1:13" x14ac:dyDescent="0.5">
      <c r="A11" vm="5">
        <v>45811</v>
      </c>
      <c r="B11">
        <v>6000</v>
      </c>
      <c r="C11">
        <v>4.5</v>
      </c>
      <c r="D11">
        <v>280</v>
      </c>
      <c r="E11" t="e">
        <v>#NUM!</v>
      </c>
      <c r="F11" t="str">
        <v>No sleep tracked</v>
      </c>
    </row>
    <row r="12" spans="1:13" x14ac:dyDescent="0.5">
      <c r="A12" vm="6">
        <v>45812</v>
      </c>
      <c r="B12">
        <v>12300</v>
      </c>
      <c r="C12">
        <v>9</v>
      </c>
      <c r="D12">
        <v>450</v>
      </c>
      <c r="E12">
        <v>6.8</v>
      </c>
      <c r="F12" t="str">
        <v>Running group</v>
      </c>
      <c r="H12" s="4" t="s">
        <v>11</v>
      </c>
      <c r="I12" t="e" cm="1" vm="7">
        <f t="array" ref="I12">_xlfn._xlws.PY(3,1)</f>
        <v>#VALUE!</v>
      </c>
    </row>
    <row r="13" spans="1:13" x14ac:dyDescent="0.5">
      <c r="H13" s="4" t="s">
        <v>12</v>
      </c>
      <c r="I13" t="e" cm="1" vm="8">
        <f t="array" ref="I13">_xlfn._xlws.PY(4,1)</f>
        <v>#VALUE!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2025-06-04T09:11:22Z</dcterms:created>
  <dcterms:modified xsi:type="dcterms:W3CDTF">2025-06-25T08:01:34Z</dcterms:modified>
</cp:coreProperties>
</file>