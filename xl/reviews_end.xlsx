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-2e/src/xl/"/>
    </mc:Choice>
  </mc:AlternateContent>
  <xr:revisionPtr revIDLastSave="0" documentId="13_ncr:1_{549696FA-A9BB-C846-A500-974587205A02}" xr6:coauthVersionLast="47" xr6:coauthVersionMax="47" xr10:uidLastSave="{00000000-0000-0000-0000-000000000000}"/>
  <bookViews>
    <workbookView xWindow="900" yWindow="780" windowWidth="33300" windowHeight="21360" activeTab="1" xr2:uid="{E663F470-3D58-9042-AFDD-BB2426E3DAEB}"/>
  </bookViews>
  <sheets>
    <sheet name="Sheet1" sheetId="1" r:id="rId1"/>
    <sheet name="Analysis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 a="1"/>
  <c r="A6" i="2" s="1"/>
  <c r="A18" i="2" s="1" a="1"/>
  <c r="A18" i="2" s="1"/>
  <c r="A9" i="2" l="1" a="1"/>
  <c r="A9" i="2" s="1"/>
  <c r="A38" i="2" a="1"/>
  <c r="A38" i="2" s="1"/>
  <c r="A47" i="2" s="1" a="1"/>
  <c r="A47" i="2" s="1"/>
  <c r="A50" i="2" l="1" a="1"/>
  <c r="A41" i="2" a="1"/>
  <c r="A41" i="2" s="1"/>
  <c r="A50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2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TableReviews_df=xl(%P2%, headers=True)</code>
    </pythonScript>
    <pythonScript>
      <code>#Visualize most common words in reviews using a word cloud
import nltk
from nltk.corpus import stopwords
from collections import Counter
from wordcloud import WordCloud
# Combine all reviews into one text
all_reviews = ' '.join(TableReviews_df['Review'].astype(str))
# Tokenize and remove stopwords
stop_words = set(stopwords.words('english'))
words = [word.lower() for word in all_reviews.split() if word.isalpha() and word.lower() not in stop_words]
# Count word frequencies
word_freq = Counter(words)
# Create a word cloud
plt.rcParams['font.family'] = ['Meiryo','Batang','TH SarabunPSK','SimHei','DejaVu Sans']
fig, ax = plt.subplots(figsize=(8, 4))
wordcloud = WordCloud(width=800, height=400, background_color='white').generate_from_frequencies(word_freq)
ax.imshow(wordcloud, interpolation='bilinear')
ax.axis('off')
plt.tight_layout()
plt.show()</code>
    </pythonScript>
    <pythonScript>
      <code>#Count of reviews by sentiment label
# Perform sentiment analysis on each review
from nltk.sentiment import SentimentIntensityAnalyzer
nltk.download('vader_lexicon', quiet=True)
sia = SentimentIntensityAnalyzer()
TableReviews_df['SentimentScore'] = TableReviews_df['Review'].astype(str).apply(lambda x: sia.polarity_scores(x)['compound'])
TableReviews_df['SentimentLabel'] = TableReviews_df['SentimentScore'].apply(lambda x: 'Positive' if x &gt; 0.05 else ('Negative' if x &lt; -0.05 else 'Neutral'))
# Show sentiment label counts
sentiment_counts = TableReviews_df['SentimentLabel'].value_counts()
sentiment_counts</code>
    </pythonScript>
    <pythonScript>
      <code>#Show each review with its sentiment label
# Show the review text with its classified sentiment
TableReviews_df[['Review', 'SentimentLabel']]</code>
    </pythonScript>
  </pythonScripts>
</python>
</file>

<file path=xl/sharedStrings.xml><?xml version="1.0" encoding="utf-8"?>
<sst xmlns="http://schemas.openxmlformats.org/spreadsheetml/2006/main" count="15" uniqueCount="13">
  <si>
    <t>Review</t>
  </si>
  <si>
    <t>Good location of the bar, but a bit noisy. Food is delicious.</t>
  </si>
  <si>
    <t>We waited a long time to be served by a masterpiece of incompetence who forgot most of what we ordered.</t>
  </si>
  <si>
    <t>It's a good place for a quick beer after work.</t>
  </si>
  <si>
    <t>Prices are far more reasonable than in most other corners of the town. Recommended.</t>
  </si>
  <si>
    <t>We went for drinks, but waited far too long for bad service, so don't go!</t>
  </si>
  <si>
    <t>Analysis Sheet</t>
  </si>
  <si>
    <t>This sheet will include all the Python formulas generated by Copilot.</t>
  </si>
  <si>
    <t>Load data from Sheet1, Table1</t>
  </si>
  <si>
    <t>Preview</t>
  </si>
  <si>
    <t>Visualize most common words in reviews using a word cloud</t>
  </si>
  <si>
    <t>Count of reviews by sentiment label</t>
  </si>
  <si>
    <t>Show each review with its sentiment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</si>
</sst>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rgb="FF156082"/>
      <name val="Aptos Narrow"/>
      <family val="2"/>
      <scheme val="minor"/>
    </font>
    <font>
      <b/>
      <sz val="14"/>
      <color rgb="FF15608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18</xdr:row>
      <xdr:rowOff>0</xdr:rowOff>
    </xdr:from>
    <xdr:to>
      <xdr:col>9</xdr:col>
      <xdr:colOff>64478</xdr:colOff>
      <xdr:row>34</xdr:row>
      <xdr:rowOff>0</xdr:rowOff>
    </xdr:to>
    <xdr:pic>
      <xdr:nvPicPr>
        <xdr:cNvPr id="2" name="Picture 1" title="Visualize most common words in reviews using a word cloud">
          <a:extLst>
            <a:ext uri="{FF2B5EF4-FFF2-40B4-BE49-F238E27FC236}">
              <a16:creationId xmlns:a16="http://schemas.microsoft.com/office/drawing/2014/main" id="{905C1DC3-B058-50FF-C08D-24B37D79862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1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862388"/>
          <a:ext cx="6236677" cy="32004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6" c="2">
    <v t="s"/>
    <v t="s">Review</v>
    <v>0</v>
    <v t="s">Good location of the bar, but a bit noisy. Food is delicious.</v>
    <v>1</v>
    <v t="s">We went for drinks, but waited far too long for bad service, so don't go!</v>
    <v>2</v>
    <v t="s">It's a good place for a quick beer after work.</v>
    <v>3</v>
    <v t="s">Prices are far more reasonable than in most other corners of the town. Recommended.</v>
    <v>4</v>
    <v t="s">We waited a long time to be served by a masterpiece of incompetence who forgot most of what we ordered.</v>
  </a>
  <a r="2">
    <v>760</v>
    <v>390</v>
  </a>
  <a r="3" c="2">
    <v t="s">SentimentLabel</v>
    <v t="s">count</v>
    <v t="s">Positive</v>
    <v>4</v>
    <v t="s">Negative</v>
    <v>1</v>
  </a>
  <a r="6" c="3">
    <v t="s"/>
    <v t="s">Review</v>
    <v t="s">SentimentLabel</v>
    <v>0</v>
    <v t="s">Good location of the bar, but a bit noisy. Food is delicious.</v>
    <v t="s">Positive</v>
    <v>1</v>
    <v t="s">We went for drinks, but waited far too long for bad service, so don't go!</v>
    <v t="s">Negative</v>
    <v>2</v>
    <v t="s">It's a good place for a quick beer after work.</v>
    <v t="s">Positive</v>
    <v>3</v>
    <v t="s">Prices are far more reasonable than in most other corners of the town. Recommended.</v>
    <v t="s">Positive</v>
    <v>4</v>
    <v t="s">We waited a long time to be served by a masterpiece of incompetence who forgot most of what we ordered.</v>
    <v t="s">Positive</v>
  </a>
</arrayData>
</file>

<file path=xl/richData/rdrichvalue.xml><?xml version="1.0" encoding="utf-8"?>
<rvData xmlns="http://schemas.microsoft.com/office/spreadsheetml/2017/richdata" count="13">
  <rv s="0">
    <v>0</v>
  </rv>
  <rv s="1">
    <v>DataFrame</v>
    <v>1</v>
    <v>0</v>
  </rv>
  <rv s="2">
    <v>&lt;class 'pandas.core.frame.DataFrame'&gt;</v>
    <v>DataFrame</v>
    <v xml:space="preserve">                                              Review
0  Good location of the bar, but a bit noisy. Foo...
1  We went for drinks, but waited far too long fo...
2     It's a good place for a quick beer after work.
3  Prices are far more reasonable than i...</v>
    <v>1</v>
    <v>2</v>
  </rv>
  <rv s="3">
    <v>0</v>
    <v>9</v>
  </rv>
  <rv s="0">
    <v>1</v>
  </rv>
  <rv s="4">
    <v>Image</v>
    <v>3</v>
    <v>3</v>
    <v>4</v>
  </rv>
  <rv s="2">
    <v>&lt;class 'PIL.PngImagePlugin.PngImageFile'&gt;</v>
    <v>PngImageFile</v>
    <v>&lt;PIL.PngImagePlugin.PngImageFile image mode=RGBA size=760x390 at 0x7EFC532E86E0&gt;</v>
    <v>5</v>
    <v>2</v>
  </rv>
  <rv s="0">
    <v>2</v>
  </rv>
  <rv s="1">
    <v>Series</v>
    <v>5</v>
    <v>7</v>
  </rv>
  <rv s="2">
    <v>&lt;class 'pandas.core.series.Series'&gt;</v>
    <v>Series</v>
    <v>SentimentLabel
Positive    4
Negative    1
Name: count, dtype: int64</v>
    <v>8</v>
    <v>2</v>
  </rv>
  <rv s="0">
    <v>3</v>
  </rv>
  <rv s="1">
    <v>DataFrame</v>
    <v>7</v>
    <v>10</v>
  </rv>
  <rv s="2">
    <v>&lt;class 'pandas.core.frame.DataFrame'&gt;</v>
    <v>DataFrame</v>
    <v xml:space="preserve">                                              Review SentimentLabel
0  Good location of the bar, but a bit noisy. Foo...       Positive
1  We went for drinks, but waited far too long fo...       Negative
2     It's a good place for a quick beer after w...</v>
    <v>11</v>
    <v>2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1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3">
      <v>1</v>
    </spb>
    <spb s="0">
      <v>2</v>
      <v>1</v>
      <v>Series</v>
      <v>arrayPreview</v>
      <v>1</v>
    </spb>
    <spb s="1">
      <v>4</v>
    </spb>
    <spb s="0">
      <v>5</v>
      <v>2</v>
      <v>DataFrame</v>
      <v>arrayPreview</v>
      <v>1</v>
    </spb>
    <spb s="1">
      <v>6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57DDD-2FF7-A94F-9DEA-4D2DF1EEA383}" name="TableReviews" displayName="TableReviews" ref="A1:A6" totalsRowShown="0">
  <autoFilter ref="A1:A6" xr:uid="{A2957DDD-2FF7-A94F-9DEA-4D2DF1EEA383}"/>
  <tableColumns count="1">
    <tableColumn id="1" xr3:uid="{05D75E52-5CDC-8C41-84FF-781DFFA90CA0}" name="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A1E7-EF88-CC4C-BCDB-8937FEC8CA0C}">
  <dimension ref="A1:A6"/>
  <sheetViews>
    <sheetView workbookViewId="0"/>
  </sheetViews>
  <sheetFormatPr baseColWidth="10" defaultColWidth="11" defaultRowHeight="16" x14ac:dyDescent="0.2"/>
  <cols>
    <col min="1" max="1" width="87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5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6102-B36D-4869-AFF2-88A50FA6EA97}">
  <dimension ref="A1:C55"/>
  <sheetViews>
    <sheetView tabSelected="1" workbookViewId="0"/>
  </sheetViews>
  <sheetFormatPr baseColWidth="10" defaultColWidth="8.83203125" defaultRowHeight="16" x14ac:dyDescent="0.2"/>
  <sheetData>
    <row r="1" spans="1:2" ht="32" x14ac:dyDescent="0.4">
      <c r="A1" s="2" t="s">
        <v>6</v>
      </c>
    </row>
    <row r="2" spans="1:2" x14ac:dyDescent="0.2">
      <c r="A2" t="s">
        <v>7</v>
      </c>
    </row>
    <row r="5" spans="1:2" ht="19" x14ac:dyDescent="0.25">
      <c r="A5" s="3" t="s">
        <v>8</v>
      </c>
    </row>
    <row r="6" spans="1:2" x14ac:dyDescent="0.2">
      <c r="A6" t="e" cm="1" vm="1">
        <f t="array" ref="A6">_xlfn._xlws.PY(0,1,TableReviews[[#Headers],[#Data]])</f>
        <v>#VALUE!</v>
      </c>
    </row>
    <row r="8" spans="1:2" x14ac:dyDescent="0.2">
      <c r="A8" s="1" t="s">
        <v>9</v>
      </c>
    </row>
    <row r="9" spans="1:2" x14ac:dyDescent="0.2">
      <c r="A9" t="str" cm="1">
        <f t="array" ref="A9:B14">IFERROR(_FV(A6,"arrayPreview"),_xlfn._DF_Python_str(A6))</f>
        <v/>
      </c>
      <c r="B9" t="str">
        <v>Review</v>
      </c>
    </row>
    <row r="10" spans="1:2" x14ac:dyDescent="0.2">
      <c r="A10">
        <v>0</v>
      </c>
      <c r="B10" t="str">
        <v>Good location of the bar, but a bit noisy. Food is delicious.</v>
      </c>
    </row>
    <row r="11" spans="1:2" x14ac:dyDescent="0.2">
      <c r="A11">
        <v>1</v>
      </c>
      <c r="B11" t="str">
        <v>We went for drinks, but waited far too long for bad service, so don't go!</v>
      </c>
    </row>
    <row r="12" spans="1:2" x14ac:dyDescent="0.2">
      <c r="A12">
        <v>2</v>
      </c>
      <c r="B12" t="str">
        <v>It's a good place for a quick beer after work.</v>
      </c>
    </row>
    <row r="13" spans="1:2" x14ac:dyDescent="0.2">
      <c r="A13">
        <v>3</v>
      </c>
      <c r="B13" t="str">
        <v>Prices are far more reasonable than in most other corners of the town. Recommended.</v>
      </c>
    </row>
    <row r="14" spans="1:2" x14ac:dyDescent="0.2">
      <c r="A14">
        <v>4</v>
      </c>
      <c r="B14" t="str">
        <v>We waited a long time to be served by a masterpiece of incompetence who forgot most of what we ordered.</v>
      </c>
    </row>
    <row r="17" spans="1:1" ht="19" x14ac:dyDescent="0.25">
      <c r="A17" s="3" t="s">
        <v>10</v>
      </c>
    </row>
    <row r="18" spans="1:1" x14ac:dyDescent="0.2">
      <c r="A18" t="e" cm="1" vm="2">
        <f t="array" ref="A18">_xlfn._xlws.PY(1,1)</f>
        <v>#VALUE!</v>
      </c>
    </row>
    <row r="37" spans="1:2" ht="19" x14ac:dyDescent="0.25">
      <c r="A37" s="3" t="s">
        <v>11</v>
      </c>
    </row>
    <row r="38" spans="1:2" x14ac:dyDescent="0.2">
      <c r="A38" t="e" cm="1" vm="3">
        <f t="array" ref="A38">_xlfn._xlws.PY(2,1)</f>
        <v>#VALUE!</v>
      </c>
    </row>
    <row r="40" spans="1:2" x14ac:dyDescent="0.2">
      <c r="A40" s="1" t="s">
        <v>9</v>
      </c>
    </row>
    <row r="41" spans="1:2" x14ac:dyDescent="0.2">
      <c r="A41" t="str" cm="1">
        <f t="array" ref="A41:B43">IFERROR(_FV(A38,"arrayPreview"),_xlfn._DF_Python_str(A38))</f>
        <v>SentimentLabel</v>
      </c>
      <c r="B41" t="str">
        <v>count</v>
      </c>
    </row>
    <row r="42" spans="1:2" x14ac:dyDescent="0.2">
      <c r="A42" t="str">
        <v>Positive</v>
      </c>
      <c r="B42">
        <v>4</v>
      </c>
    </row>
    <row r="43" spans="1:2" x14ac:dyDescent="0.2">
      <c r="A43" t="str">
        <v>Negative</v>
      </c>
      <c r="B43">
        <v>1</v>
      </c>
    </row>
    <row r="46" spans="1:2" ht="19" x14ac:dyDescent="0.25">
      <c r="A46" s="3" t="s">
        <v>12</v>
      </c>
    </row>
    <row r="47" spans="1:2" x14ac:dyDescent="0.2">
      <c r="A47" t="e" cm="1" vm="4">
        <f t="array" ref="A47">_xlfn._xlws.PY(3,1)</f>
        <v>#VALUE!</v>
      </c>
    </row>
    <row r="49" spans="1:3" x14ac:dyDescent="0.2">
      <c r="A49" s="1" t="s">
        <v>9</v>
      </c>
    </row>
    <row r="50" spans="1:3" x14ac:dyDescent="0.2">
      <c r="A50" t="str" cm="1">
        <f t="array" ref="A50:C55">IFERROR(_FV(A47,"arrayPreview"),_xlfn._DF_Python_str(A47))</f>
        <v/>
      </c>
      <c r="B50" t="str">
        <v>Review</v>
      </c>
      <c r="C50" t="str">
        <v>SentimentLabel</v>
      </c>
    </row>
    <row r="51" spans="1:3" x14ac:dyDescent="0.2">
      <c r="A51">
        <v>0</v>
      </c>
      <c r="B51" t="str">
        <v>Good location of the bar, but a bit noisy. Food is delicious.</v>
      </c>
      <c r="C51" t="str">
        <v>Positive</v>
      </c>
    </row>
    <row r="52" spans="1:3" x14ac:dyDescent="0.2">
      <c r="A52">
        <v>1</v>
      </c>
      <c r="B52" t="str">
        <v>We went for drinks, but waited far too long for bad service, so don't go!</v>
      </c>
      <c r="C52" t="str">
        <v>Negative</v>
      </c>
    </row>
    <row r="53" spans="1:3" x14ac:dyDescent="0.2">
      <c r="A53">
        <v>2</v>
      </c>
      <c r="B53" t="str">
        <v>It's a good place for a quick beer after work.</v>
      </c>
      <c r="C53" t="str">
        <v>Positive</v>
      </c>
    </row>
    <row r="54" spans="1:3" x14ac:dyDescent="0.2">
      <c r="A54">
        <v>3</v>
      </c>
      <c r="B54" t="str">
        <v>Prices are far more reasonable than in most other corners of the town. Recommended.</v>
      </c>
      <c r="C54" t="str">
        <v>Positive</v>
      </c>
    </row>
    <row r="55" spans="1:3" x14ac:dyDescent="0.2">
      <c r="A55">
        <v>4</v>
      </c>
      <c r="B55" t="str">
        <v>We waited a long time to be served by a masterpiece of incompetence who forgot most of what we ordered.</v>
      </c>
      <c r="C55" t="str">
        <v>Positive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2025-07-15T08:05:58Z</dcterms:created>
  <dcterms:modified xsi:type="dcterms:W3CDTF">2025-07-30T08:45:38Z</dcterms:modified>
</cp:coreProperties>
</file>